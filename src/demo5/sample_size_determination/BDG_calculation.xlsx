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da-my.sharepoint.com/personal/prabhat_kc_fda_gov/Documents/Documents/DLIR/wZitong/sample_size_determination/"/>
    </mc:Choice>
  </mc:AlternateContent>
  <xr:revisionPtr revIDLastSave="2" documentId="13_ncr:1_{5D14627C-EE59-47A7-8502-202ECCDAFF84}" xr6:coauthVersionLast="47" xr6:coauthVersionMax="47" xr10:uidLastSave="{C4CABFDC-EEC5-49A5-ABC9-B3AD93D121E3}"/>
  <bookViews>
    <workbookView xWindow="28680" yWindow="-8865" windowWidth="29040" windowHeight="15720" xr2:uid="{8C6331D9-E14F-4C55-BFA6-FA41CD499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6" i="1"/>
  <c r="H6" i="1" s="1"/>
  <c r="K2" i="1"/>
  <c r="U2" i="1" s="1"/>
  <c r="V3" i="1"/>
  <c r="V4" i="1"/>
  <c r="V2" i="1"/>
  <c r="D4" i="1"/>
  <c r="J5" i="1"/>
  <c r="T5" i="1" s="1"/>
  <c r="D3" i="1"/>
  <c r="J3" i="1" s="1"/>
  <c r="T3" i="1" s="1"/>
  <c r="C4" i="1"/>
  <c r="C3" i="1"/>
  <c r="E2" i="1"/>
  <c r="H5" i="1"/>
  <c r="H2" i="1"/>
  <c r="M2" i="1"/>
  <c r="W2" i="1" s="1"/>
  <c r="J2" i="1"/>
  <c r="T2" i="1" s="1"/>
  <c r="Y2" i="1" l="1"/>
  <c r="J6" i="1"/>
  <c r="F6" i="1"/>
  <c r="L6" i="1" s="1"/>
  <c r="L5" i="1"/>
  <c r="V5" i="1" s="1"/>
  <c r="E4" i="1"/>
  <c r="E3" i="1"/>
  <c r="K3" i="1" s="1"/>
  <c r="U3" i="1" s="1"/>
  <c r="M5" i="1"/>
  <c r="W5" i="1" s="1"/>
  <c r="K5" i="1"/>
  <c r="U5" i="1" s="1"/>
  <c r="E5" i="1"/>
  <c r="F5" i="1" s="1"/>
  <c r="AA2" i="1"/>
  <c r="K6" i="1" l="1"/>
  <c r="U6" i="1" s="1"/>
  <c r="V6" i="1"/>
  <c r="T6" i="1"/>
  <c r="H4" i="1"/>
  <c r="K4" i="1" s="1"/>
  <c r="U4" i="1" s="1"/>
  <c r="Y5" i="1"/>
  <c r="AA5" i="1" s="1"/>
  <c r="M3" i="1"/>
  <c r="H3" i="1"/>
  <c r="Y3" i="1" l="1"/>
  <c r="AA3" i="1" s="1"/>
  <c r="W3" i="1"/>
  <c r="M6" i="1"/>
  <c r="W6" i="1" s="1"/>
  <c r="M4" i="1"/>
  <c r="W4" i="1" s="1"/>
  <c r="J4" i="1"/>
  <c r="Y4" i="1" l="1"/>
  <c r="AA4" i="1" s="1"/>
  <c r="T4" i="1"/>
  <c r="Y6" i="1"/>
  <c r="AA6" i="1" s="1"/>
</calcChain>
</file>

<file path=xl/sharedStrings.xml><?xml version="1.0" encoding="utf-8"?>
<sst xmlns="http://schemas.openxmlformats.org/spreadsheetml/2006/main" count="29" uniqueCount="28">
  <si>
    <t>N_R</t>
  </si>
  <si>
    <t>N_C</t>
  </si>
  <si>
    <t>N_c_r</t>
  </si>
  <si>
    <t>w_r</t>
  </si>
  <si>
    <t>c1</t>
  </si>
  <si>
    <t>c4</t>
  </si>
  <si>
    <t>c5</t>
  </si>
  <si>
    <t>c8</t>
  </si>
  <si>
    <t>M1</t>
  </si>
  <si>
    <t>M4</t>
  </si>
  <si>
    <t>M5</t>
  </si>
  <si>
    <t>M8</t>
  </si>
  <si>
    <t>DP-gen</t>
  </si>
  <si>
    <t>var_dlmo</t>
  </si>
  <si>
    <t>var_ho</t>
  </si>
  <si>
    <t>SE</t>
  </si>
  <si>
    <t>FC</t>
  </si>
  <si>
    <t>DP-hybird</t>
  </si>
  <si>
    <t>N_c_r_overlap</t>
  </si>
  <si>
    <t>c1M1</t>
  </si>
  <si>
    <t>c4M4</t>
  </si>
  <si>
    <t>C5M5</t>
  </si>
  <si>
    <t>c8M8</t>
  </si>
  <si>
    <t>N_g</t>
  </si>
  <si>
    <t>DP-1</t>
  </si>
  <si>
    <t>DP-2</t>
  </si>
  <si>
    <t>SP-no-overlap</t>
  </si>
  <si>
    <t>SP-overlap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</si>
</sst>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14</xdr:col>
      <xdr:colOff>102983</xdr:colOff>
      <xdr:row>23</xdr:row>
      <xdr:rowOff>105142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1BAF2-DECE-4E30-964E-2C3763998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9907383" cy="2626092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9</xdr:row>
      <xdr:rowOff>25400</xdr:rowOff>
    </xdr:from>
    <xdr:to>
      <xdr:col>20</xdr:col>
      <xdr:colOff>191024</xdr:colOff>
      <xdr:row>26</xdr:row>
      <xdr:rowOff>44882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60C044-C470-25C2-0C72-805686C5A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1654175"/>
          <a:ext cx="3753374" cy="30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5E22-0211-410C-831F-FBC889214DBC}">
  <dimension ref="A1:AA129"/>
  <sheetViews>
    <sheetView tabSelected="1" workbookViewId="0">
      <selection activeCell="U10" sqref="U10"/>
    </sheetView>
  </sheetViews>
  <sheetFormatPr defaultRowHeight="14.5" x14ac:dyDescent="0.35"/>
  <cols>
    <col min="1" max="1" width="20.08984375" customWidth="1"/>
    <col min="2" max="2" width="11.453125" customWidth="1"/>
    <col min="6" max="6" width="12.81640625" customWidth="1"/>
  </cols>
  <sheetData>
    <row r="1" spans="1:27" x14ac:dyDescent="0.35">
      <c r="C1" t="s">
        <v>0</v>
      </c>
      <c r="D1" t="s">
        <v>1</v>
      </c>
      <c r="E1" t="s">
        <v>2</v>
      </c>
      <c r="F1" t="s">
        <v>18</v>
      </c>
      <c r="G1" t="s">
        <v>23</v>
      </c>
      <c r="H1" t="s">
        <v>3</v>
      </c>
      <c r="J1" t="s">
        <v>4</v>
      </c>
      <c r="K1" t="s">
        <v>5</v>
      </c>
      <c r="L1" t="s">
        <v>6</v>
      </c>
      <c r="M1" t="s">
        <v>7</v>
      </c>
      <c r="O1" t="s">
        <v>8</v>
      </c>
      <c r="P1" t="s">
        <v>9</v>
      </c>
      <c r="Q1" t="s">
        <v>10</v>
      </c>
      <c r="R1" t="s">
        <v>11</v>
      </c>
      <c r="T1" t="s">
        <v>19</v>
      </c>
      <c r="U1" t="s">
        <v>20</v>
      </c>
      <c r="V1" t="s">
        <v>21</v>
      </c>
      <c r="W1" t="s">
        <v>22</v>
      </c>
      <c r="Y1" t="s">
        <v>13</v>
      </c>
      <c r="Z1" t="s">
        <v>14</v>
      </c>
      <c r="AA1" t="s">
        <v>15</v>
      </c>
    </row>
    <row r="2" spans="1:27" x14ac:dyDescent="0.35">
      <c r="A2" s="4" t="s">
        <v>26</v>
      </c>
      <c r="B2" t="s">
        <v>24</v>
      </c>
      <c r="C2">
        <v>4</v>
      </c>
      <c r="D2">
        <v>640</v>
      </c>
      <c r="E2" s="1">
        <f>D2/C2</f>
        <v>160</v>
      </c>
      <c r="F2" s="1">
        <v>0</v>
      </c>
      <c r="G2" s="1"/>
      <c r="H2" s="2">
        <f>1/C2</f>
        <v>0.25</v>
      </c>
      <c r="J2" s="2">
        <f>1/D2</f>
        <v>1.5625000000000001E-3</v>
      </c>
      <c r="K2" s="2">
        <f>(D2-C2)/(D2*C2)</f>
        <v>0.24843750000000001</v>
      </c>
      <c r="L2" s="2">
        <v>0</v>
      </c>
      <c r="M2" s="2">
        <f>-1/C2</f>
        <v>-0.25</v>
      </c>
      <c r="O2" s="1">
        <v>0.93333330000000003</v>
      </c>
      <c r="P2" s="1">
        <v>0.87119999999999997</v>
      </c>
      <c r="Q2" s="1">
        <v>0.90666670000000005</v>
      </c>
      <c r="R2" s="1">
        <v>0.87111110000000003</v>
      </c>
      <c r="T2">
        <f>O2*J2</f>
        <v>1.4583332812500001E-3</v>
      </c>
      <c r="U2">
        <f t="shared" ref="U2:W2" si="0">P2*K2</f>
        <v>0.21643874999999999</v>
      </c>
      <c r="V2">
        <f t="shared" si="0"/>
        <v>0</v>
      </c>
      <c r="W2">
        <f t="shared" si="0"/>
        <v>-0.21777777500000001</v>
      </c>
      <c r="Y2" s="2">
        <f t="shared" ref="Y2:Y6" si="1">O2*J2+P2*K2+Q2*L2+R2*M2</f>
        <v>1.1930828124998016E-4</v>
      </c>
      <c r="Z2" s="1">
        <v>1.188201E-4</v>
      </c>
      <c r="AA2" s="5">
        <f>(Y2+Z2)^0.5</f>
        <v>1.5431408919796667E-2</v>
      </c>
    </row>
    <row r="3" spans="1:27" x14ac:dyDescent="0.35">
      <c r="A3" s="4"/>
      <c r="B3" t="s">
        <v>25</v>
      </c>
      <c r="C3">
        <f>C2</f>
        <v>4</v>
      </c>
      <c r="D3">
        <f>D2</f>
        <v>640</v>
      </c>
      <c r="E3" s="1">
        <f>D3/C3</f>
        <v>160</v>
      </c>
      <c r="F3" s="1">
        <v>0</v>
      </c>
      <c r="H3" s="2">
        <f>E3/D3</f>
        <v>0.25</v>
      </c>
      <c r="J3" s="2">
        <f>1/D3</f>
        <v>1.5625000000000001E-3</v>
      </c>
      <c r="K3" s="2">
        <f>C3*(E3^2-E3)/(D3^2)</f>
        <v>0.24843750000000001</v>
      </c>
      <c r="L3" s="2">
        <v>0</v>
      </c>
      <c r="M3" s="2">
        <f>-C3*(E3/D3)^2</f>
        <v>-0.25</v>
      </c>
      <c r="O3" s="1">
        <v>0.93333330000000003</v>
      </c>
      <c r="P3" s="1">
        <v>0.87119999999999997</v>
      </c>
      <c r="Q3" s="1">
        <v>0.90666670000000005</v>
      </c>
      <c r="R3" s="1">
        <v>0.87111110000000003</v>
      </c>
      <c r="T3">
        <f t="shared" ref="T3:T5" si="2">O3*J3</f>
        <v>1.4583332812500001E-3</v>
      </c>
      <c r="U3">
        <f t="shared" ref="U3:U5" si="3">P3*K3</f>
        <v>0.21643874999999999</v>
      </c>
      <c r="V3">
        <f t="shared" ref="V3:V5" si="4">Q3*L3</f>
        <v>0</v>
      </c>
      <c r="W3">
        <f t="shared" ref="W3:W5" si="5">R3*M3</f>
        <v>-0.21777777500000001</v>
      </c>
      <c r="Y3" s="2">
        <f t="shared" si="1"/>
        <v>1.1930828124998016E-4</v>
      </c>
      <c r="AA3" s="6">
        <f>(Y3+Z2)^0.5</f>
        <v>1.5431408919796667E-2</v>
      </c>
    </row>
    <row r="4" spans="1:27" x14ac:dyDescent="0.35">
      <c r="A4" s="4"/>
      <c r="B4" t="s">
        <v>12</v>
      </c>
      <c r="C4">
        <f>C2</f>
        <v>4</v>
      </c>
      <c r="D4">
        <f>D2</f>
        <v>640</v>
      </c>
      <c r="E4" s="1">
        <f>D4/C4</f>
        <v>160</v>
      </c>
      <c r="F4" s="1">
        <v>0</v>
      </c>
      <c r="H4" s="2">
        <f>E4/(E4*C4)</f>
        <v>0.25</v>
      </c>
      <c r="J4" s="2">
        <f>C4*H4^2/E4</f>
        <v>1.5625000000000001E-3</v>
      </c>
      <c r="K4" s="2">
        <f>C4*(H4^2*(E4-1))/E4</f>
        <v>0.24843750000000001</v>
      </c>
      <c r="L4" s="2">
        <v>0</v>
      </c>
      <c r="M4" s="2">
        <f>(H4^2*(C4-1)*C4)-1</f>
        <v>-0.25</v>
      </c>
      <c r="O4" s="1">
        <v>0.93333330000000003</v>
      </c>
      <c r="P4" s="1">
        <v>0.87119999999999997</v>
      </c>
      <c r="Q4" s="1">
        <v>0.90666670000000005</v>
      </c>
      <c r="R4" s="1">
        <v>0.87111110000000003</v>
      </c>
      <c r="T4">
        <f t="shared" si="2"/>
        <v>1.4583332812500001E-3</v>
      </c>
      <c r="U4">
        <f t="shared" si="3"/>
        <v>0.21643874999999999</v>
      </c>
      <c r="V4">
        <f t="shared" si="4"/>
        <v>0</v>
      </c>
      <c r="W4">
        <f t="shared" si="5"/>
        <v>-0.21777777500000001</v>
      </c>
      <c r="Y4" s="2">
        <f t="shared" si="1"/>
        <v>1.1930828124998016E-4</v>
      </c>
      <c r="AA4" s="6">
        <f>(Y4+Z2)^0.5</f>
        <v>1.5431408919796667E-2</v>
      </c>
    </row>
    <row r="5" spans="1:27" x14ac:dyDescent="0.35">
      <c r="A5" s="3" t="s">
        <v>16</v>
      </c>
      <c r="B5" t="s">
        <v>16</v>
      </c>
      <c r="C5">
        <v>4</v>
      </c>
      <c r="D5">
        <f>D2</f>
        <v>640</v>
      </c>
      <c r="E5" s="1">
        <f>D5</f>
        <v>640</v>
      </c>
      <c r="F5" s="1">
        <f>E5</f>
        <v>640</v>
      </c>
      <c r="G5" s="1"/>
      <c r="H5" s="2">
        <f>1/C5</f>
        <v>0.25</v>
      </c>
      <c r="J5" s="2">
        <f>1/C5/D5</f>
        <v>3.9062500000000002E-4</v>
      </c>
      <c r="K5" s="2">
        <f>(D5-1)/C5/D5</f>
        <v>0.24960937499999999</v>
      </c>
      <c r="L5" s="2">
        <f>(C5-1)/D5/C5</f>
        <v>1.171875E-3</v>
      </c>
      <c r="M5" s="2">
        <f>((D5-1)*(C5-1)-D5*C5)/D5/C5</f>
        <v>-0.25117187499999999</v>
      </c>
      <c r="O5" s="1">
        <v>0.93333330000000003</v>
      </c>
      <c r="P5" s="1">
        <v>0.87119999999999997</v>
      </c>
      <c r="Q5" s="1">
        <v>0.90666670000000005</v>
      </c>
      <c r="R5" s="1">
        <v>0.87111110000000003</v>
      </c>
      <c r="T5">
        <f t="shared" si="2"/>
        <v>3.6458332031250002E-4</v>
      </c>
      <c r="U5">
        <f t="shared" si="3"/>
        <v>0.2174596875</v>
      </c>
      <c r="V5">
        <f t="shared" si="4"/>
        <v>1.0625000390625001E-3</v>
      </c>
      <c r="W5">
        <f t="shared" si="5"/>
        <v>-0.2187986083203125</v>
      </c>
      <c r="Y5" s="2">
        <f t="shared" si="1"/>
        <v>8.8162539062491829E-5</v>
      </c>
      <c r="AA5" s="6">
        <f>(Y5+Z2)^0.5</f>
        <v>1.4386891223001994E-2</v>
      </c>
    </row>
    <row r="6" spans="1:27" x14ac:dyDescent="0.35">
      <c r="A6" s="3" t="s">
        <v>27</v>
      </c>
      <c r="B6" t="s">
        <v>17</v>
      </c>
      <c r="C6">
        <v>4</v>
      </c>
      <c r="D6">
        <v>640</v>
      </c>
      <c r="E6">
        <f>D6/G6</f>
        <v>640</v>
      </c>
      <c r="F6">
        <f>E6</f>
        <v>640</v>
      </c>
      <c r="G6">
        <v>1</v>
      </c>
      <c r="H6" s="2">
        <f>E6/(E6*C6)</f>
        <v>0.25</v>
      </c>
      <c r="J6" s="2">
        <f>C6*H6^2/E6</f>
        <v>3.9062500000000002E-4</v>
      </c>
      <c r="K6" s="2">
        <f>C6*(H6^2*(E6-1))/E6</f>
        <v>0.24960937499999999</v>
      </c>
      <c r="L6" s="2">
        <f>H6*H6/E6/E6*C6*F6*(C6/G6-1)</f>
        <v>1.1718750000000002E-3</v>
      </c>
      <c r="M6" s="2">
        <f>(H6^2*(C6-1)*C6)-L6-1</f>
        <v>-0.25117187500000004</v>
      </c>
      <c r="O6" s="1">
        <v>0.93333330000000003</v>
      </c>
      <c r="P6" s="1">
        <v>0.87119999999999997</v>
      </c>
      <c r="Q6" s="1">
        <v>0.90666670000000005</v>
      </c>
      <c r="R6" s="1">
        <v>0.87111110000000003</v>
      </c>
      <c r="T6">
        <f t="shared" ref="T6" si="6">O6*J6</f>
        <v>3.6458332031250002E-4</v>
      </c>
      <c r="U6">
        <f t="shared" ref="U6" si="7">P6*K6</f>
        <v>0.2174596875</v>
      </c>
      <c r="V6">
        <f t="shared" ref="V6" si="8">Q6*L6</f>
        <v>1.0625000390625003E-3</v>
      </c>
      <c r="W6">
        <f t="shared" ref="W6" si="9">R6*M6</f>
        <v>-0.21879860832031253</v>
      </c>
      <c r="Y6" s="2">
        <f t="shared" si="1"/>
        <v>8.8162539062464074E-5</v>
      </c>
      <c r="AA6" s="7">
        <f>(Y6+Z2)^0.5</f>
        <v>1.438689122300103E-2</v>
      </c>
    </row>
    <row r="27" spans="8:27" x14ac:dyDescent="0.35">
      <c r="H27" s="2"/>
      <c r="J27" s="2"/>
      <c r="K27" s="2"/>
      <c r="L27" s="2"/>
      <c r="M27" s="2"/>
      <c r="O27" s="1"/>
      <c r="P27" s="1"/>
      <c r="Q27" s="1"/>
      <c r="R27" s="1"/>
      <c r="Y27" s="2"/>
      <c r="AA27" s="2"/>
    </row>
    <row r="28" spans="8:27" x14ac:dyDescent="0.35">
      <c r="H28" s="2"/>
      <c r="J28" s="2"/>
      <c r="K28" s="2"/>
      <c r="L28" s="2"/>
      <c r="M28" s="2"/>
      <c r="O28" s="1"/>
      <c r="P28" s="1"/>
      <c r="Q28" s="1"/>
      <c r="R28" s="1"/>
      <c r="Y28" s="2"/>
      <c r="AA28" s="2"/>
    </row>
    <row r="29" spans="8:27" x14ac:dyDescent="0.35">
      <c r="H29" s="2"/>
      <c r="J29" s="2"/>
      <c r="K29" s="2"/>
      <c r="L29" s="2"/>
      <c r="M29" s="2"/>
      <c r="O29" s="1"/>
      <c r="P29" s="1"/>
      <c r="Q29" s="1"/>
      <c r="R29" s="1"/>
      <c r="Y29" s="2"/>
      <c r="AA29" s="2"/>
    </row>
    <row r="30" spans="8:27" x14ac:dyDescent="0.35">
      <c r="H30" s="2"/>
      <c r="J30" s="2"/>
      <c r="K30" s="2"/>
      <c r="L30" s="2"/>
      <c r="M30" s="2"/>
      <c r="O30" s="1"/>
      <c r="P30" s="1"/>
      <c r="Q30" s="1"/>
      <c r="R30" s="1"/>
      <c r="Y30" s="2"/>
      <c r="AA30" s="2"/>
    </row>
    <row r="31" spans="8:27" x14ac:dyDescent="0.35">
      <c r="H31" s="2"/>
      <c r="J31" s="2"/>
      <c r="K31" s="2"/>
      <c r="L31" s="2"/>
      <c r="M31" s="2"/>
      <c r="O31" s="1"/>
      <c r="P31" s="1"/>
      <c r="Q31" s="1"/>
      <c r="R31" s="1"/>
      <c r="Y31" s="2"/>
      <c r="AA31" s="2"/>
    </row>
    <row r="32" spans="8:27" x14ac:dyDescent="0.35">
      <c r="H32" s="2"/>
      <c r="J32" s="2"/>
      <c r="K32" s="2"/>
      <c r="L32" s="2"/>
      <c r="M32" s="2"/>
      <c r="O32" s="1"/>
      <c r="P32" s="1"/>
      <c r="Q32" s="1"/>
      <c r="R32" s="1"/>
      <c r="Y32" s="2"/>
      <c r="AA32" s="2"/>
    </row>
    <row r="33" spans="8:27" x14ac:dyDescent="0.35">
      <c r="H33" s="2"/>
      <c r="J33" s="2"/>
      <c r="K33" s="2"/>
      <c r="L33" s="2"/>
      <c r="M33" s="2"/>
      <c r="O33" s="1"/>
      <c r="P33" s="1"/>
      <c r="Q33" s="1"/>
      <c r="R33" s="1"/>
      <c r="Y33" s="2"/>
      <c r="AA33" s="2"/>
    </row>
    <row r="34" spans="8:27" x14ac:dyDescent="0.35">
      <c r="H34" s="2"/>
      <c r="J34" s="2"/>
      <c r="K34" s="2"/>
      <c r="L34" s="2"/>
      <c r="M34" s="2"/>
      <c r="O34" s="1"/>
      <c r="P34" s="1"/>
      <c r="Q34" s="1"/>
      <c r="R34" s="1"/>
      <c r="Y34" s="2"/>
      <c r="AA34" s="2"/>
    </row>
    <row r="35" spans="8:27" x14ac:dyDescent="0.35">
      <c r="H35" s="2"/>
      <c r="J35" s="2"/>
      <c r="K35" s="2"/>
      <c r="L35" s="2"/>
      <c r="M35" s="2"/>
      <c r="O35" s="1"/>
      <c r="P35" s="1"/>
      <c r="Q35" s="1"/>
      <c r="R35" s="1"/>
      <c r="Y35" s="2"/>
      <c r="AA35" s="2"/>
    </row>
    <row r="36" spans="8:27" x14ac:dyDescent="0.35">
      <c r="H36" s="2"/>
      <c r="J36" s="2"/>
      <c r="K36" s="2"/>
      <c r="L36" s="2"/>
      <c r="M36" s="2"/>
      <c r="O36" s="1"/>
      <c r="P36" s="1"/>
      <c r="Q36" s="1"/>
      <c r="R36" s="1"/>
      <c r="Y36" s="2"/>
      <c r="AA36" s="2"/>
    </row>
    <row r="37" spans="8:27" x14ac:dyDescent="0.35">
      <c r="H37" s="2"/>
      <c r="J37" s="2"/>
      <c r="K37" s="2"/>
      <c r="L37" s="2"/>
      <c r="M37" s="2"/>
      <c r="O37" s="1"/>
      <c r="P37" s="1"/>
      <c r="Q37" s="1"/>
      <c r="R37" s="1"/>
      <c r="Y37" s="2"/>
      <c r="AA37" s="2"/>
    </row>
    <row r="38" spans="8:27" x14ac:dyDescent="0.35">
      <c r="H38" s="2"/>
      <c r="J38" s="2"/>
      <c r="K38" s="2"/>
      <c r="L38" s="2"/>
      <c r="M38" s="2"/>
      <c r="O38" s="1"/>
      <c r="P38" s="1"/>
      <c r="Q38" s="1"/>
      <c r="R38" s="1"/>
      <c r="Y38" s="2"/>
      <c r="AA38" s="2"/>
    </row>
    <row r="39" spans="8:27" x14ac:dyDescent="0.35">
      <c r="H39" s="2"/>
      <c r="J39" s="2"/>
      <c r="K39" s="2"/>
      <c r="L39" s="2"/>
      <c r="M39" s="2"/>
      <c r="O39" s="1"/>
      <c r="P39" s="1"/>
      <c r="Q39" s="1"/>
      <c r="R39" s="1"/>
      <c r="Y39" s="2"/>
      <c r="AA39" s="2"/>
    </row>
    <row r="40" spans="8:27" x14ac:dyDescent="0.35">
      <c r="H40" s="2"/>
      <c r="J40" s="2"/>
      <c r="K40" s="2"/>
      <c r="L40" s="2"/>
      <c r="M40" s="2"/>
      <c r="O40" s="1"/>
      <c r="P40" s="1"/>
      <c r="Q40" s="1"/>
      <c r="R40" s="1"/>
      <c r="Y40" s="2"/>
      <c r="AA40" s="2"/>
    </row>
    <row r="41" spans="8:27" x14ac:dyDescent="0.35">
      <c r="H41" s="2"/>
      <c r="J41" s="2"/>
      <c r="K41" s="2"/>
      <c r="L41" s="2"/>
      <c r="M41" s="2"/>
      <c r="O41" s="1"/>
      <c r="P41" s="1"/>
      <c r="Q41" s="1"/>
      <c r="R41" s="1"/>
      <c r="Y41" s="2"/>
      <c r="AA41" s="2"/>
    </row>
    <row r="42" spans="8:27" x14ac:dyDescent="0.35">
      <c r="H42" s="2"/>
      <c r="J42" s="2"/>
      <c r="K42" s="2"/>
      <c r="L42" s="2"/>
      <c r="M42" s="2"/>
      <c r="O42" s="1"/>
      <c r="P42" s="1"/>
      <c r="Q42" s="1"/>
      <c r="R42" s="1"/>
      <c r="Y42" s="2"/>
      <c r="AA42" s="2"/>
    </row>
    <row r="43" spans="8:27" x14ac:dyDescent="0.35">
      <c r="H43" s="2"/>
      <c r="J43" s="2"/>
      <c r="K43" s="2"/>
      <c r="L43" s="2"/>
      <c r="M43" s="2"/>
      <c r="O43" s="1"/>
      <c r="P43" s="1"/>
      <c r="Q43" s="1"/>
      <c r="R43" s="1"/>
      <c r="Y43" s="2"/>
      <c r="AA43" s="2"/>
    </row>
    <row r="44" spans="8:27" x14ac:dyDescent="0.35">
      <c r="H44" s="2"/>
      <c r="J44" s="2"/>
      <c r="K44" s="2"/>
      <c r="L44" s="2"/>
      <c r="M44" s="2"/>
      <c r="O44" s="1"/>
      <c r="P44" s="1"/>
      <c r="Q44" s="1"/>
      <c r="R44" s="1"/>
      <c r="Y44" s="2"/>
      <c r="AA44" s="2"/>
    </row>
    <row r="45" spans="8:27" x14ac:dyDescent="0.35">
      <c r="H45" s="2"/>
      <c r="J45" s="2"/>
      <c r="K45" s="2"/>
      <c r="L45" s="2"/>
      <c r="M45" s="2"/>
      <c r="O45" s="1"/>
      <c r="P45" s="1"/>
      <c r="Q45" s="1"/>
      <c r="R45" s="1"/>
      <c r="Y45" s="2"/>
      <c r="AA45" s="2"/>
    </row>
    <row r="46" spans="8:27" x14ac:dyDescent="0.35">
      <c r="H46" s="2"/>
      <c r="J46" s="2"/>
      <c r="K46" s="2"/>
      <c r="L46" s="2"/>
      <c r="M46" s="2"/>
      <c r="O46" s="1"/>
      <c r="P46" s="1"/>
      <c r="Q46" s="1"/>
      <c r="R46" s="1"/>
      <c r="Y46" s="2"/>
      <c r="AA46" s="2"/>
    </row>
    <row r="47" spans="8:27" x14ac:dyDescent="0.35">
      <c r="H47" s="2"/>
      <c r="J47" s="2"/>
      <c r="K47" s="2"/>
      <c r="L47" s="2"/>
      <c r="M47" s="2"/>
      <c r="O47" s="1"/>
      <c r="P47" s="1"/>
      <c r="Q47" s="1"/>
      <c r="R47" s="1"/>
      <c r="Y47" s="2"/>
      <c r="AA47" s="2"/>
    </row>
    <row r="48" spans="8:27" x14ac:dyDescent="0.35">
      <c r="H48" s="2"/>
      <c r="J48" s="2"/>
      <c r="K48" s="2"/>
      <c r="L48" s="2"/>
      <c r="M48" s="2"/>
      <c r="O48" s="1"/>
      <c r="P48" s="1"/>
      <c r="Q48" s="1"/>
      <c r="R48" s="1"/>
      <c r="Y48" s="2"/>
      <c r="AA48" s="2"/>
    </row>
    <row r="49" spans="8:27" x14ac:dyDescent="0.35">
      <c r="H49" s="2"/>
      <c r="J49" s="2"/>
      <c r="K49" s="2"/>
      <c r="L49" s="2"/>
      <c r="M49" s="2"/>
      <c r="O49" s="1"/>
      <c r="P49" s="1"/>
      <c r="Q49" s="1"/>
      <c r="R49" s="1"/>
      <c r="Y49" s="2"/>
      <c r="AA49" s="2"/>
    </row>
    <row r="50" spans="8:27" x14ac:dyDescent="0.35">
      <c r="H50" s="2"/>
      <c r="J50" s="2"/>
      <c r="K50" s="2"/>
      <c r="L50" s="2"/>
      <c r="M50" s="2"/>
      <c r="O50" s="1"/>
      <c r="P50" s="1"/>
      <c r="Q50" s="1"/>
      <c r="R50" s="1"/>
      <c r="Y50" s="2"/>
      <c r="AA50" s="2"/>
    </row>
    <row r="51" spans="8:27" x14ac:dyDescent="0.35">
      <c r="H51" s="2"/>
      <c r="J51" s="2"/>
      <c r="K51" s="2"/>
      <c r="L51" s="2"/>
      <c r="M51" s="2"/>
      <c r="O51" s="1"/>
      <c r="P51" s="1"/>
      <c r="Q51" s="1"/>
      <c r="R51" s="1"/>
      <c r="Y51" s="2"/>
      <c r="AA51" s="2"/>
    </row>
    <row r="52" spans="8:27" x14ac:dyDescent="0.35">
      <c r="H52" s="2"/>
      <c r="J52" s="2"/>
      <c r="K52" s="2"/>
      <c r="L52" s="2"/>
      <c r="M52" s="2"/>
      <c r="O52" s="1"/>
      <c r="P52" s="1"/>
      <c r="Q52" s="1"/>
      <c r="R52" s="1"/>
      <c r="Y52" s="2"/>
      <c r="AA52" s="2"/>
    </row>
    <row r="53" spans="8:27" x14ac:dyDescent="0.35">
      <c r="H53" s="2"/>
      <c r="J53" s="2"/>
      <c r="K53" s="2"/>
      <c r="L53" s="2"/>
      <c r="M53" s="2"/>
      <c r="O53" s="1"/>
      <c r="P53" s="1"/>
      <c r="Q53" s="1"/>
      <c r="R53" s="1"/>
      <c r="Y53" s="2"/>
      <c r="AA53" s="2"/>
    </row>
    <row r="54" spans="8:27" x14ac:dyDescent="0.35">
      <c r="H54" s="2"/>
      <c r="J54" s="2"/>
      <c r="K54" s="2"/>
      <c r="L54" s="2"/>
      <c r="M54" s="2"/>
      <c r="O54" s="1"/>
      <c r="P54" s="1"/>
      <c r="Q54" s="1"/>
      <c r="R54" s="1"/>
      <c r="Y54" s="2"/>
      <c r="AA54" s="2"/>
    </row>
    <row r="55" spans="8:27" x14ac:dyDescent="0.35">
      <c r="H55" s="2"/>
      <c r="J55" s="2"/>
      <c r="K55" s="2"/>
      <c r="L55" s="2"/>
      <c r="M55" s="2"/>
      <c r="O55" s="1"/>
      <c r="P55" s="1"/>
      <c r="Q55" s="1"/>
      <c r="R55" s="1"/>
      <c r="Y55" s="2"/>
      <c r="AA55" s="2"/>
    </row>
    <row r="56" spans="8:27" x14ac:dyDescent="0.35">
      <c r="H56" s="2"/>
      <c r="J56" s="2"/>
      <c r="K56" s="2"/>
      <c r="L56" s="2"/>
      <c r="M56" s="2"/>
      <c r="O56" s="1"/>
      <c r="P56" s="1"/>
      <c r="Q56" s="1"/>
      <c r="R56" s="1"/>
      <c r="Y56" s="2"/>
      <c r="AA56" s="2"/>
    </row>
    <row r="57" spans="8:27" x14ac:dyDescent="0.35">
      <c r="H57" s="2"/>
      <c r="J57" s="2"/>
      <c r="K57" s="2"/>
      <c r="L57" s="2"/>
      <c r="M57" s="2"/>
      <c r="O57" s="1"/>
      <c r="P57" s="1"/>
      <c r="Q57" s="1"/>
      <c r="R57" s="1"/>
      <c r="Y57" s="2"/>
      <c r="AA57" s="2"/>
    </row>
    <row r="58" spans="8:27" x14ac:dyDescent="0.35">
      <c r="H58" s="2"/>
      <c r="J58" s="2"/>
      <c r="K58" s="2"/>
      <c r="L58" s="2"/>
      <c r="M58" s="2"/>
      <c r="O58" s="1"/>
      <c r="P58" s="1"/>
      <c r="Q58" s="1"/>
      <c r="R58" s="1"/>
      <c r="Y58" s="2"/>
      <c r="AA58" s="2"/>
    </row>
    <row r="59" spans="8:27" x14ac:dyDescent="0.35">
      <c r="H59" s="2"/>
      <c r="J59" s="2"/>
      <c r="K59" s="2"/>
      <c r="L59" s="2"/>
      <c r="M59" s="2"/>
      <c r="O59" s="1"/>
      <c r="P59" s="1"/>
      <c r="Q59" s="1"/>
      <c r="R59" s="1"/>
      <c r="Y59" s="2"/>
      <c r="AA59" s="2"/>
    </row>
    <row r="60" spans="8:27" x14ac:dyDescent="0.35">
      <c r="H60" s="2"/>
      <c r="J60" s="2"/>
      <c r="K60" s="2"/>
      <c r="L60" s="2"/>
      <c r="M60" s="2"/>
      <c r="O60" s="1"/>
      <c r="P60" s="1"/>
      <c r="Q60" s="1"/>
      <c r="R60" s="1"/>
      <c r="Y60" s="2"/>
      <c r="AA60" s="2"/>
    </row>
    <row r="61" spans="8:27" x14ac:dyDescent="0.35">
      <c r="H61" s="2"/>
      <c r="J61" s="2"/>
      <c r="K61" s="2"/>
      <c r="L61" s="2"/>
      <c r="M61" s="2"/>
      <c r="O61" s="1"/>
      <c r="P61" s="1"/>
      <c r="Q61" s="1"/>
      <c r="R61" s="1"/>
      <c r="Y61" s="2"/>
      <c r="AA61" s="2"/>
    </row>
    <row r="62" spans="8:27" x14ac:dyDescent="0.35">
      <c r="H62" s="2"/>
      <c r="J62" s="2"/>
      <c r="K62" s="2"/>
      <c r="L62" s="2"/>
      <c r="M62" s="2"/>
      <c r="O62" s="1"/>
      <c r="P62" s="1"/>
      <c r="Q62" s="1"/>
      <c r="R62" s="1"/>
      <c r="Y62" s="2"/>
      <c r="AA62" s="2"/>
    </row>
    <row r="63" spans="8:27" x14ac:dyDescent="0.35">
      <c r="H63" s="2"/>
      <c r="J63" s="2"/>
      <c r="K63" s="2"/>
      <c r="L63" s="2"/>
      <c r="M63" s="2"/>
      <c r="O63" s="1"/>
      <c r="P63" s="1"/>
      <c r="Q63" s="1"/>
      <c r="R63" s="1"/>
      <c r="Y63" s="2"/>
      <c r="AA63" s="2"/>
    </row>
    <row r="64" spans="8:27" x14ac:dyDescent="0.35">
      <c r="H64" s="2"/>
      <c r="J64" s="2"/>
      <c r="K64" s="2"/>
      <c r="L64" s="2"/>
      <c r="M64" s="2"/>
      <c r="O64" s="1"/>
      <c r="P64" s="1"/>
      <c r="Q64" s="1"/>
      <c r="R64" s="1"/>
      <c r="Y64" s="2"/>
      <c r="AA64" s="2"/>
    </row>
    <row r="65" spans="8:27" x14ac:dyDescent="0.35">
      <c r="H65" s="2"/>
      <c r="J65" s="2"/>
      <c r="K65" s="2"/>
      <c r="L65" s="2"/>
      <c r="M65" s="2"/>
      <c r="O65" s="1"/>
      <c r="P65" s="1"/>
      <c r="Q65" s="1"/>
      <c r="R65" s="1"/>
      <c r="Y65" s="2"/>
      <c r="AA65" s="2"/>
    </row>
    <row r="66" spans="8:27" x14ac:dyDescent="0.35">
      <c r="H66" s="2"/>
      <c r="J66" s="2"/>
      <c r="K66" s="2"/>
      <c r="L66" s="2"/>
      <c r="M66" s="2"/>
      <c r="O66" s="1"/>
      <c r="P66" s="1"/>
      <c r="Q66" s="1"/>
      <c r="R66" s="1"/>
      <c r="Y66" s="2"/>
      <c r="AA66" s="2"/>
    </row>
    <row r="67" spans="8:27" x14ac:dyDescent="0.35">
      <c r="H67" s="2"/>
      <c r="J67" s="2"/>
      <c r="K67" s="2"/>
      <c r="L67" s="2"/>
      <c r="M67" s="2"/>
      <c r="O67" s="1"/>
      <c r="P67" s="1"/>
      <c r="Q67" s="1"/>
      <c r="R67" s="1"/>
      <c r="Y67" s="2"/>
      <c r="AA67" s="2"/>
    </row>
    <row r="68" spans="8:27" x14ac:dyDescent="0.35">
      <c r="H68" s="2"/>
      <c r="J68" s="2"/>
      <c r="K68" s="2"/>
      <c r="L68" s="2"/>
      <c r="M68" s="2"/>
      <c r="O68" s="1"/>
      <c r="P68" s="1"/>
      <c r="Q68" s="1"/>
      <c r="R68" s="1"/>
      <c r="Y68" s="2"/>
      <c r="AA68" s="2"/>
    </row>
    <row r="69" spans="8:27" x14ac:dyDescent="0.35">
      <c r="H69" s="2"/>
      <c r="J69" s="2"/>
      <c r="K69" s="2"/>
      <c r="L69" s="2"/>
      <c r="M69" s="2"/>
      <c r="O69" s="1"/>
      <c r="P69" s="1"/>
      <c r="Q69" s="1"/>
      <c r="R69" s="1"/>
      <c r="Y69" s="2"/>
      <c r="AA69" s="2"/>
    </row>
    <row r="70" spans="8:27" x14ac:dyDescent="0.35">
      <c r="H70" s="2"/>
      <c r="J70" s="2"/>
      <c r="K70" s="2"/>
      <c r="L70" s="2"/>
      <c r="M70" s="2"/>
      <c r="O70" s="1"/>
      <c r="P70" s="1"/>
      <c r="Q70" s="1"/>
      <c r="R70" s="1"/>
      <c r="Y70" s="2"/>
      <c r="AA70" s="2"/>
    </row>
    <row r="71" spans="8:27" x14ac:dyDescent="0.35">
      <c r="H71" s="2"/>
      <c r="J71" s="2"/>
      <c r="K71" s="2"/>
      <c r="L71" s="2"/>
      <c r="M71" s="2"/>
      <c r="O71" s="1"/>
      <c r="P71" s="1"/>
      <c r="Q71" s="1"/>
      <c r="R71" s="1"/>
      <c r="Y71" s="2"/>
      <c r="AA71" s="2"/>
    </row>
    <row r="72" spans="8:27" x14ac:dyDescent="0.35">
      <c r="H72" s="2"/>
      <c r="J72" s="2"/>
      <c r="K72" s="2"/>
      <c r="L72" s="2"/>
      <c r="M72" s="2"/>
      <c r="O72" s="1"/>
      <c r="P72" s="1"/>
      <c r="Q72" s="1"/>
      <c r="R72" s="1"/>
      <c r="Y72" s="2"/>
      <c r="AA72" s="2"/>
    </row>
    <row r="73" spans="8:27" x14ac:dyDescent="0.35">
      <c r="H73" s="2"/>
      <c r="J73" s="2"/>
      <c r="K73" s="2"/>
      <c r="L73" s="2"/>
      <c r="M73" s="2"/>
      <c r="O73" s="1"/>
      <c r="P73" s="1"/>
      <c r="Q73" s="1"/>
      <c r="R73" s="1"/>
      <c r="Y73" s="2"/>
      <c r="AA73" s="2"/>
    </row>
    <row r="74" spans="8:27" x14ac:dyDescent="0.35">
      <c r="H74" s="2"/>
      <c r="J74" s="2"/>
      <c r="K74" s="2"/>
      <c r="L74" s="2"/>
      <c r="M74" s="2"/>
      <c r="O74" s="1"/>
      <c r="P74" s="1"/>
      <c r="Q74" s="1"/>
      <c r="R74" s="1"/>
      <c r="Y74" s="2"/>
      <c r="AA74" s="2"/>
    </row>
    <row r="75" spans="8:27" x14ac:dyDescent="0.35">
      <c r="H75" s="2"/>
      <c r="J75" s="2"/>
      <c r="K75" s="2"/>
      <c r="L75" s="2"/>
      <c r="M75" s="2"/>
      <c r="O75" s="1"/>
      <c r="P75" s="1"/>
      <c r="Q75" s="1"/>
      <c r="R75" s="1"/>
      <c r="Y75" s="2"/>
      <c r="AA75" s="2"/>
    </row>
    <row r="76" spans="8:27" x14ac:dyDescent="0.35">
      <c r="H76" s="2"/>
      <c r="J76" s="2"/>
      <c r="K76" s="2"/>
      <c r="L76" s="2"/>
      <c r="M76" s="2"/>
      <c r="O76" s="1"/>
      <c r="P76" s="1"/>
      <c r="Q76" s="1"/>
      <c r="R76" s="1"/>
      <c r="Y76" s="2"/>
      <c r="AA76" s="2"/>
    </row>
    <row r="77" spans="8:27" x14ac:dyDescent="0.35">
      <c r="H77" s="2"/>
      <c r="J77" s="2"/>
      <c r="K77" s="2"/>
      <c r="L77" s="2"/>
      <c r="M77" s="2"/>
      <c r="O77" s="1"/>
      <c r="P77" s="1"/>
      <c r="Q77" s="1"/>
      <c r="R77" s="1"/>
      <c r="Y77" s="2"/>
      <c r="AA77" s="2"/>
    </row>
    <row r="78" spans="8:27" x14ac:dyDescent="0.35">
      <c r="H78" s="2"/>
      <c r="J78" s="2"/>
      <c r="K78" s="2"/>
      <c r="L78" s="2"/>
      <c r="M78" s="2"/>
      <c r="O78" s="1"/>
      <c r="P78" s="1"/>
      <c r="Q78" s="1"/>
      <c r="R78" s="1"/>
      <c r="Y78" s="2"/>
      <c r="AA78" s="2"/>
    </row>
    <row r="79" spans="8:27" x14ac:dyDescent="0.35">
      <c r="H79" s="2"/>
      <c r="J79" s="2"/>
      <c r="K79" s="2"/>
      <c r="L79" s="2"/>
      <c r="M79" s="2"/>
      <c r="O79" s="1"/>
      <c r="P79" s="1"/>
      <c r="Q79" s="1"/>
      <c r="R79" s="1"/>
      <c r="Y79" s="2"/>
      <c r="AA79" s="2"/>
    </row>
    <row r="80" spans="8:27" x14ac:dyDescent="0.35">
      <c r="H80" s="2"/>
      <c r="J80" s="2"/>
      <c r="K80" s="2"/>
      <c r="L80" s="2"/>
      <c r="M80" s="2"/>
      <c r="O80" s="1"/>
      <c r="P80" s="1"/>
      <c r="Q80" s="1"/>
      <c r="R80" s="1"/>
      <c r="Y80" s="2"/>
      <c r="AA80" s="2"/>
    </row>
    <row r="81" spans="8:27" x14ac:dyDescent="0.35">
      <c r="H81" s="2"/>
      <c r="J81" s="2"/>
      <c r="K81" s="2"/>
      <c r="L81" s="2"/>
      <c r="M81" s="2"/>
      <c r="O81" s="1"/>
      <c r="P81" s="1"/>
      <c r="Q81" s="1"/>
      <c r="R81" s="1"/>
      <c r="Y81" s="2"/>
      <c r="AA81" s="2"/>
    </row>
    <row r="82" spans="8:27" x14ac:dyDescent="0.35">
      <c r="H82" s="2"/>
      <c r="J82" s="2"/>
      <c r="K82" s="2"/>
      <c r="L82" s="2"/>
      <c r="M82" s="2"/>
      <c r="O82" s="1"/>
      <c r="P82" s="1"/>
      <c r="Q82" s="1"/>
      <c r="R82" s="1"/>
      <c r="Y82" s="2"/>
      <c r="AA82" s="2"/>
    </row>
    <row r="83" spans="8:27" x14ac:dyDescent="0.35">
      <c r="H83" s="2"/>
      <c r="J83" s="2"/>
      <c r="K83" s="2"/>
      <c r="L83" s="2"/>
      <c r="M83" s="2"/>
      <c r="O83" s="1"/>
      <c r="P83" s="1"/>
      <c r="Q83" s="1"/>
      <c r="R83" s="1"/>
      <c r="Y83" s="2"/>
      <c r="AA83" s="2"/>
    </row>
    <row r="84" spans="8:27" x14ac:dyDescent="0.35">
      <c r="H84" s="2"/>
      <c r="J84" s="2"/>
      <c r="K84" s="2"/>
      <c r="L84" s="2"/>
      <c r="M84" s="2"/>
      <c r="O84" s="1"/>
      <c r="P84" s="1"/>
      <c r="Q84" s="1"/>
      <c r="R84" s="1"/>
      <c r="Y84" s="2"/>
      <c r="AA84" s="2"/>
    </row>
    <row r="85" spans="8:27" x14ac:dyDescent="0.35">
      <c r="H85" s="2"/>
      <c r="J85" s="2"/>
      <c r="K85" s="2"/>
      <c r="L85" s="2"/>
      <c r="M85" s="2"/>
      <c r="O85" s="1"/>
      <c r="P85" s="1"/>
      <c r="Q85" s="1"/>
      <c r="R85" s="1"/>
      <c r="Y85" s="2"/>
      <c r="AA85" s="2"/>
    </row>
    <row r="86" spans="8:27" x14ac:dyDescent="0.35">
      <c r="H86" s="2"/>
      <c r="J86" s="2"/>
      <c r="K86" s="2"/>
      <c r="L86" s="2"/>
      <c r="M86" s="2"/>
      <c r="O86" s="1"/>
      <c r="P86" s="1"/>
      <c r="Q86" s="1"/>
      <c r="R86" s="1"/>
      <c r="Y86" s="2"/>
      <c r="AA86" s="2"/>
    </row>
    <row r="87" spans="8:27" x14ac:dyDescent="0.35">
      <c r="H87" s="2"/>
      <c r="J87" s="2"/>
      <c r="K87" s="2"/>
      <c r="L87" s="2"/>
      <c r="M87" s="2"/>
      <c r="O87" s="1"/>
      <c r="P87" s="1"/>
      <c r="Q87" s="1"/>
      <c r="R87" s="1"/>
      <c r="Y87" s="2"/>
      <c r="AA87" s="2"/>
    </row>
    <row r="88" spans="8:27" x14ac:dyDescent="0.35">
      <c r="H88" s="2"/>
      <c r="J88" s="2"/>
      <c r="K88" s="2"/>
      <c r="L88" s="2"/>
      <c r="M88" s="2"/>
      <c r="O88" s="1"/>
      <c r="P88" s="1"/>
      <c r="Q88" s="1"/>
      <c r="R88" s="1"/>
      <c r="Y88" s="2"/>
      <c r="AA88" s="2"/>
    </row>
    <row r="89" spans="8:27" x14ac:dyDescent="0.35">
      <c r="H89" s="2"/>
      <c r="J89" s="2"/>
      <c r="K89" s="2"/>
      <c r="L89" s="2"/>
      <c r="M89" s="2"/>
      <c r="O89" s="1"/>
      <c r="P89" s="1"/>
      <c r="Q89" s="1"/>
      <c r="R89" s="1"/>
      <c r="Y89" s="2"/>
      <c r="AA89" s="2"/>
    </row>
    <row r="90" spans="8:27" x14ac:dyDescent="0.35">
      <c r="H90" s="2"/>
      <c r="J90" s="2"/>
      <c r="K90" s="2"/>
      <c r="L90" s="2"/>
      <c r="M90" s="2"/>
      <c r="O90" s="1"/>
      <c r="P90" s="1"/>
      <c r="Q90" s="1"/>
      <c r="R90" s="1"/>
      <c r="Y90" s="2"/>
      <c r="AA90" s="2"/>
    </row>
    <row r="91" spans="8:27" x14ac:dyDescent="0.35">
      <c r="H91" s="2"/>
      <c r="J91" s="2"/>
      <c r="K91" s="2"/>
      <c r="L91" s="2"/>
      <c r="M91" s="2"/>
      <c r="O91" s="1"/>
      <c r="P91" s="1"/>
      <c r="Q91" s="1"/>
      <c r="R91" s="1"/>
      <c r="Y91" s="2"/>
      <c r="AA91" s="2"/>
    </row>
    <row r="92" spans="8:27" x14ac:dyDescent="0.35">
      <c r="H92" s="2"/>
      <c r="J92" s="2"/>
      <c r="K92" s="2"/>
      <c r="L92" s="2"/>
      <c r="M92" s="2"/>
      <c r="O92" s="1"/>
      <c r="P92" s="1"/>
      <c r="Q92" s="1"/>
      <c r="R92" s="1"/>
      <c r="Y92" s="2"/>
      <c r="AA92" s="2"/>
    </row>
    <row r="93" spans="8:27" x14ac:dyDescent="0.35">
      <c r="H93" s="2"/>
      <c r="J93" s="2"/>
      <c r="K93" s="2"/>
      <c r="L93" s="2"/>
      <c r="M93" s="2"/>
      <c r="O93" s="1"/>
      <c r="P93" s="1"/>
      <c r="Q93" s="1"/>
      <c r="R93" s="1"/>
      <c r="Y93" s="2"/>
      <c r="AA93" s="2"/>
    </row>
    <row r="94" spans="8:27" x14ac:dyDescent="0.35">
      <c r="H94" s="2"/>
      <c r="J94" s="2"/>
      <c r="K94" s="2"/>
      <c r="L94" s="2"/>
      <c r="M94" s="2"/>
      <c r="O94" s="1"/>
      <c r="P94" s="1"/>
      <c r="Q94" s="1"/>
      <c r="R94" s="1"/>
      <c r="Y94" s="2"/>
      <c r="AA94" s="2"/>
    </row>
    <row r="95" spans="8:27" x14ac:dyDescent="0.35">
      <c r="H95" s="2"/>
      <c r="J95" s="2"/>
      <c r="K95" s="2"/>
      <c r="L95" s="2"/>
      <c r="M95" s="2"/>
      <c r="O95" s="1"/>
      <c r="P95" s="1"/>
      <c r="Q95" s="1"/>
      <c r="R95" s="1"/>
      <c r="Y95" s="2"/>
      <c r="AA95" s="2"/>
    </row>
    <row r="96" spans="8:27" x14ac:dyDescent="0.35">
      <c r="H96" s="2"/>
      <c r="J96" s="2"/>
      <c r="K96" s="2"/>
      <c r="L96" s="2"/>
      <c r="M96" s="2"/>
      <c r="O96" s="1"/>
      <c r="P96" s="1"/>
      <c r="Q96" s="1"/>
      <c r="R96" s="1"/>
      <c r="Y96" s="2"/>
      <c r="AA96" s="2"/>
    </row>
    <row r="97" spans="8:27" x14ac:dyDescent="0.35">
      <c r="H97" s="2"/>
      <c r="J97" s="2"/>
      <c r="K97" s="2"/>
      <c r="L97" s="2"/>
      <c r="M97" s="2"/>
      <c r="O97" s="1"/>
      <c r="P97" s="1"/>
      <c r="Q97" s="1"/>
      <c r="R97" s="1"/>
      <c r="Y97" s="2"/>
      <c r="AA97" s="2"/>
    </row>
    <row r="98" spans="8:27" x14ac:dyDescent="0.35">
      <c r="H98" s="2"/>
      <c r="J98" s="2"/>
      <c r="K98" s="2"/>
      <c r="L98" s="2"/>
      <c r="M98" s="2"/>
      <c r="O98" s="1"/>
      <c r="P98" s="1"/>
      <c r="Q98" s="1"/>
      <c r="R98" s="1"/>
      <c r="Y98" s="2"/>
      <c r="AA98" s="2"/>
    </row>
    <row r="99" spans="8:27" x14ac:dyDescent="0.35">
      <c r="H99" s="2"/>
      <c r="J99" s="2"/>
      <c r="K99" s="2"/>
      <c r="L99" s="2"/>
      <c r="M99" s="2"/>
      <c r="O99" s="1"/>
      <c r="P99" s="1"/>
      <c r="Q99" s="1"/>
      <c r="R99" s="1"/>
      <c r="Y99" s="2"/>
      <c r="AA99" s="2"/>
    </row>
    <row r="100" spans="8:27" x14ac:dyDescent="0.35">
      <c r="H100" s="2"/>
      <c r="J100" s="2"/>
      <c r="K100" s="2"/>
      <c r="L100" s="2"/>
      <c r="M100" s="2"/>
      <c r="O100" s="1"/>
      <c r="P100" s="1"/>
      <c r="Q100" s="1"/>
      <c r="R100" s="1"/>
      <c r="Y100" s="2"/>
      <c r="AA100" s="2"/>
    </row>
    <row r="101" spans="8:27" x14ac:dyDescent="0.35">
      <c r="H101" s="2"/>
      <c r="J101" s="2"/>
      <c r="K101" s="2"/>
      <c r="L101" s="2"/>
      <c r="M101" s="2"/>
      <c r="O101" s="1"/>
      <c r="P101" s="1"/>
      <c r="Q101" s="1"/>
      <c r="R101" s="1"/>
      <c r="Y101" s="2"/>
      <c r="AA101" s="2"/>
    </row>
    <row r="102" spans="8:27" x14ac:dyDescent="0.35">
      <c r="H102" s="2"/>
      <c r="J102" s="2"/>
      <c r="K102" s="2"/>
      <c r="L102" s="2"/>
      <c r="M102" s="2"/>
      <c r="O102" s="1"/>
      <c r="P102" s="1"/>
      <c r="Q102" s="1"/>
      <c r="R102" s="1"/>
      <c r="Y102" s="2"/>
      <c r="AA102" s="2"/>
    </row>
    <row r="103" spans="8:27" x14ac:dyDescent="0.35">
      <c r="H103" s="2"/>
      <c r="J103" s="2"/>
      <c r="K103" s="2"/>
      <c r="L103" s="2"/>
      <c r="M103" s="2"/>
      <c r="O103" s="1"/>
      <c r="P103" s="1"/>
      <c r="Q103" s="1"/>
      <c r="R103" s="1"/>
      <c r="Y103" s="2"/>
      <c r="AA103" s="2"/>
    </row>
    <row r="104" spans="8:27" x14ac:dyDescent="0.35">
      <c r="H104" s="2"/>
      <c r="J104" s="2"/>
      <c r="K104" s="2"/>
      <c r="L104" s="2"/>
      <c r="M104" s="2"/>
      <c r="O104" s="1"/>
      <c r="P104" s="1"/>
      <c r="Q104" s="1"/>
      <c r="R104" s="1"/>
      <c r="Y104" s="2"/>
      <c r="AA104" s="2"/>
    </row>
    <row r="105" spans="8:27" x14ac:dyDescent="0.35">
      <c r="H105" s="2"/>
      <c r="J105" s="2"/>
      <c r="K105" s="2"/>
      <c r="L105" s="2"/>
      <c r="M105" s="2"/>
      <c r="O105" s="1"/>
      <c r="P105" s="1"/>
      <c r="Q105" s="1"/>
      <c r="R105" s="1"/>
      <c r="Y105" s="2"/>
      <c r="AA105" s="2"/>
    </row>
    <row r="106" spans="8:27" x14ac:dyDescent="0.35">
      <c r="H106" s="2"/>
      <c r="J106" s="2"/>
      <c r="K106" s="2"/>
      <c r="L106" s="2"/>
      <c r="M106" s="2"/>
      <c r="O106" s="1"/>
      <c r="P106" s="1"/>
      <c r="Q106" s="1"/>
      <c r="R106" s="1"/>
      <c r="Y106" s="2"/>
      <c r="AA106" s="2"/>
    </row>
    <row r="107" spans="8:27" x14ac:dyDescent="0.35">
      <c r="H107" s="2"/>
      <c r="J107" s="2"/>
      <c r="K107" s="2"/>
      <c r="L107" s="2"/>
      <c r="M107" s="2"/>
      <c r="O107" s="1"/>
      <c r="P107" s="1"/>
      <c r="Q107" s="1"/>
      <c r="R107" s="1"/>
      <c r="Y107" s="2"/>
      <c r="AA107" s="2"/>
    </row>
    <row r="108" spans="8:27" x14ac:dyDescent="0.35">
      <c r="H108" s="2"/>
      <c r="J108" s="2"/>
      <c r="K108" s="2"/>
      <c r="L108" s="2"/>
      <c r="M108" s="2"/>
      <c r="O108" s="1"/>
      <c r="P108" s="1"/>
      <c r="Q108" s="1"/>
      <c r="R108" s="1"/>
      <c r="Y108" s="2"/>
      <c r="AA108" s="2"/>
    </row>
    <row r="109" spans="8:27" x14ac:dyDescent="0.35">
      <c r="H109" s="2"/>
      <c r="J109" s="2"/>
      <c r="K109" s="2"/>
      <c r="L109" s="2"/>
      <c r="M109" s="2"/>
      <c r="O109" s="1"/>
      <c r="P109" s="1"/>
      <c r="Q109" s="1"/>
      <c r="R109" s="1"/>
      <c r="Y109" s="2"/>
      <c r="AA109" s="2"/>
    </row>
    <row r="110" spans="8:27" x14ac:dyDescent="0.35">
      <c r="H110" s="2"/>
      <c r="J110" s="2"/>
      <c r="K110" s="2"/>
      <c r="L110" s="2"/>
      <c r="M110" s="2"/>
      <c r="O110" s="1"/>
      <c r="P110" s="1"/>
      <c r="Q110" s="1"/>
      <c r="R110" s="1"/>
      <c r="Y110" s="2"/>
      <c r="AA110" s="2"/>
    </row>
    <row r="111" spans="8:27" x14ac:dyDescent="0.35">
      <c r="H111" s="2"/>
      <c r="J111" s="2"/>
      <c r="K111" s="2"/>
      <c r="L111" s="2"/>
      <c r="M111" s="2"/>
      <c r="O111" s="1"/>
      <c r="P111" s="1"/>
      <c r="Q111" s="1"/>
      <c r="R111" s="1"/>
      <c r="Y111" s="2"/>
      <c r="AA111" s="2"/>
    </row>
    <row r="112" spans="8:27" x14ac:dyDescent="0.35">
      <c r="H112" s="2"/>
      <c r="J112" s="2"/>
      <c r="K112" s="2"/>
      <c r="L112" s="2"/>
      <c r="M112" s="2"/>
      <c r="O112" s="1"/>
      <c r="P112" s="1"/>
      <c r="Q112" s="1"/>
      <c r="R112" s="1"/>
      <c r="Y112" s="2"/>
      <c r="AA112" s="2"/>
    </row>
    <row r="113" spans="8:27" x14ac:dyDescent="0.35">
      <c r="H113" s="2"/>
      <c r="J113" s="2"/>
      <c r="K113" s="2"/>
      <c r="L113" s="2"/>
      <c r="M113" s="2"/>
      <c r="O113" s="1"/>
      <c r="P113" s="1"/>
      <c r="Q113" s="1"/>
      <c r="R113" s="1"/>
      <c r="Y113" s="2"/>
      <c r="AA113" s="2"/>
    </row>
    <row r="114" spans="8:27" x14ac:dyDescent="0.35">
      <c r="H114" s="2"/>
      <c r="J114" s="2"/>
      <c r="K114" s="2"/>
      <c r="L114" s="2"/>
      <c r="M114" s="2"/>
      <c r="O114" s="1"/>
      <c r="P114" s="1"/>
      <c r="Q114" s="1"/>
      <c r="R114" s="1"/>
      <c r="Y114" s="2"/>
      <c r="AA114" s="2"/>
    </row>
    <row r="115" spans="8:27" x14ac:dyDescent="0.35">
      <c r="H115" s="2"/>
      <c r="J115" s="2"/>
      <c r="K115" s="2"/>
      <c r="L115" s="2"/>
      <c r="M115" s="2"/>
      <c r="O115" s="1"/>
      <c r="P115" s="1"/>
      <c r="Q115" s="1"/>
      <c r="R115" s="1"/>
      <c r="Y115" s="2"/>
      <c r="AA115" s="2"/>
    </row>
    <row r="116" spans="8:27" x14ac:dyDescent="0.35">
      <c r="H116" s="2"/>
      <c r="J116" s="2"/>
      <c r="K116" s="2"/>
      <c r="L116" s="2"/>
      <c r="M116" s="2"/>
      <c r="O116" s="1"/>
      <c r="P116" s="1"/>
      <c r="Q116" s="1"/>
      <c r="R116" s="1"/>
      <c r="Y116" s="2"/>
      <c r="AA116" s="2"/>
    </row>
    <row r="117" spans="8:27" x14ac:dyDescent="0.35">
      <c r="H117" s="2"/>
      <c r="J117" s="2"/>
      <c r="K117" s="2"/>
      <c r="L117" s="2"/>
      <c r="M117" s="2"/>
      <c r="O117" s="1"/>
      <c r="P117" s="1"/>
      <c r="Q117" s="1"/>
      <c r="R117" s="1"/>
      <c r="Y117" s="2"/>
      <c r="AA117" s="2"/>
    </row>
    <row r="118" spans="8:27" x14ac:dyDescent="0.35">
      <c r="H118" s="2"/>
      <c r="J118" s="2"/>
      <c r="K118" s="2"/>
      <c r="L118" s="2"/>
      <c r="M118" s="2"/>
      <c r="O118" s="1"/>
      <c r="P118" s="1"/>
      <c r="Q118" s="1"/>
      <c r="R118" s="1"/>
      <c r="Y118" s="2"/>
      <c r="AA118" s="2"/>
    </row>
    <row r="119" spans="8:27" x14ac:dyDescent="0.35">
      <c r="H119" s="2"/>
      <c r="J119" s="2"/>
      <c r="K119" s="2"/>
      <c r="L119" s="2"/>
      <c r="M119" s="2"/>
      <c r="O119" s="1"/>
      <c r="P119" s="1"/>
      <c r="Q119" s="1"/>
      <c r="R119" s="1"/>
      <c r="Y119" s="2"/>
      <c r="AA119" s="2"/>
    </row>
    <row r="120" spans="8:27" x14ac:dyDescent="0.35">
      <c r="H120" s="2"/>
      <c r="J120" s="2"/>
      <c r="K120" s="2"/>
      <c r="L120" s="2"/>
      <c r="M120" s="2"/>
      <c r="O120" s="1"/>
      <c r="P120" s="1"/>
      <c r="Q120" s="1"/>
      <c r="R120" s="1"/>
      <c r="Y120" s="2"/>
      <c r="AA120" s="2"/>
    </row>
    <row r="121" spans="8:27" x14ac:dyDescent="0.35">
      <c r="H121" s="2"/>
      <c r="J121" s="2"/>
      <c r="K121" s="2"/>
      <c r="L121" s="2"/>
      <c r="M121" s="2"/>
      <c r="O121" s="1"/>
      <c r="P121" s="1"/>
      <c r="Q121" s="1"/>
      <c r="R121" s="1"/>
      <c r="Y121" s="2"/>
      <c r="AA121" s="2"/>
    </row>
    <row r="122" spans="8:27" x14ac:dyDescent="0.35">
      <c r="H122" s="2"/>
      <c r="J122" s="2"/>
      <c r="K122" s="2"/>
      <c r="L122" s="2"/>
      <c r="M122" s="2"/>
      <c r="O122" s="1"/>
      <c r="P122" s="1"/>
      <c r="Q122" s="1"/>
      <c r="R122" s="1"/>
      <c r="Y122" s="2"/>
      <c r="AA122" s="2"/>
    </row>
    <row r="123" spans="8:27" x14ac:dyDescent="0.35">
      <c r="H123" s="2"/>
      <c r="J123" s="2"/>
      <c r="K123" s="2"/>
      <c r="L123" s="2"/>
      <c r="M123" s="2"/>
      <c r="O123" s="1"/>
      <c r="P123" s="1"/>
      <c r="Q123" s="1"/>
      <c r="R123" s="1"/>
      <c r="Y123" s="2"/>
      <c r="AA123" s="2"/>
    </row>
    <row r="124" spans="8:27" x14ac:dyDescent="0.35">
      <c r="H124" s="2"/>
      <c r="J124" s="2"/>
      <c r="K124" s="2"/>
      <c r="L124" s="2"/>
      <c r="M124" s="2"/>
      <c r="O124" s="1"/>
      <c r="P124" s="1"/>
      <c r="Q124" s="1"/>
      <c r="R124" s="1"/>
      <c r="Y124" s="2"/>
      <c r="AA124" s="2"/>
    </row>
    <row r="125" spans="8:27" x14ac:dyDescent="0.35">
      <c r="H125" s="2"/>
      <c r="J125" s="2"/>
      <c r="K125" s="2"/>
      <c r="L125" s="2"/>
      <c r="M125" s="2"/>
      <c r="O125" s="1"/>
      <c r="P125" s="1"/>
      <c r="Q125" s="1"/>
      <c r="R125" s="1"/>
      <c r="Y125" s="2"/>
      <c r="AA125" s="2"/>
    </row>
    <row r="126" spans="8:27" x14ac:dyDescent="0.35">
      <c r="H126" s="2"/>
      <c r="J126" s="2"/>
      <c r="K126" s="2"/>
      <c r="L126" s="2"/>
      <c r="M126" s="2"/>
      <c r="O126" s="1"/>
      <c r="P126" s="1"/>
      <c r="Q126" s="1"/>
      <c r="R126" s="1"/>
      <c r="Y126" s="2"/>
      <c r="AA126" s="2"/>
    </row>
    <row r="127" spans="8:27" x14ac:dyDescent="0.35">
      <c r="H127" s="2"/>
      <c r="J127" s="2"/>
      <c r="K127" s="2"/>
      <c r="L127" s="2"/>
      <c r="M127" s="2"/>
      <c r="O127" s="1"/>
      <c r="P127" s="1"/>
      <c r="Q127" s="1"/>
      <c r="R127" s="1"/>
      <c r="Y127" s="2"/>
      <c r="AA127" s="2"/>
    </row>
    <row r="128" spans="8:27" x14ac:dyDescent="0.35">
      <c r="H128" s="2"/>
      <c r="J128" s="2"/>
      <c r="K128" s="2"/>
      <c r="L128" s="2"/>
      <c r="M128" s="2"/>
      <c r="O128" s="1"/>
      <c r="P128" s="1"/>
      <c r="Q128" s="1"/>
      <c r="R128" s="1"/>
      <c r="Y128" s="2"/>
      <c r="AA128" s="2"/>
    </row>
    <row r="129" spans="8:27" x14ac:dyDescent="0.35">
      <c r="H129" s="2"/>
      <c r="J129" s="2"/>
      <c r="K129" s="2"/>
      <c r="L129" s="2"/>
      <c r="M129" s="2"/>
      <c r="O129" s="1"/>
      <c r="P129" s="1"/>
      <c r="Q129" s="1"/>
      <c r="R129" s="1"/>
      <c r="Y129" s="2"/>
      <c r="AA129" s="2"/>
    </row>
  </sheetData>
  <mergeCells count="1">
    <mergeCell ref="A2:A4"/>
  </mergeCells>
  <phoneticPr fontId="3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Zitong *</dc:creator>
  <cp:lastModifiedBy>Yu, Zitong *</cp:lastModifiedBy>
  <dcterms:created xsi:type="dcterms:W3CDTF">2025-07-29T16:05:35Z</dcterms:created>
  <dcterms:modified xsi:type="dcterms:W3CDTF">2025-08-21T19:11:36Z</dcterms:modified>
</cp:coreProperties>
</file>